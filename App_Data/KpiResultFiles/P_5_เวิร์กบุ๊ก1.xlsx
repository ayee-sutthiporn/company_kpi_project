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eE25\OneDrive\เดสก์ท็อป\"/>
    </mc:Choice>
  </mc:AlternateContent>
  <xr:revisionPtr revIDLastSave="0" documentId="13_ncr:1_{89474615-2D69-4971-B051-2589BD975C6F}" xr6:coauthVersionLast="47" xr6:coauthVersionMax="47" xr10:uidLastSave="{00000000-0000-0000-0000-000000000000}"/>
  <bookViews>
    <workbookView xWindow="-120" yWindow="-120" windowWidth="29040" windowHeight="15720" xr2:uid="{FB719938-5702-4371-BF1E-DDAFD064C59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" i="1" l="1"/>
  <c r="S28" i="2"/>
  <c r="R28" i="2"/>
  <c r="Q5" i="2"/>
  <c r="M25" i="2"/>
  <c r="J25" i="2"/>
  <c r="I25" i="2"/>
  <c r="I5" i="1"/>
  <c r="I7" i="1" l="1"/>
</calcChain>
</file>

<file path=xl/sharedStrings.xml><?xml version="1.0" encoding="utf-8"?>
<sst xmlns="http://schemas.openxmlformats.org/spreadsheetml/2006/main" count="21" uniqueCount="19">
  <si>
    <t>ค่าห้อง</t>
  </si>
  <si>
    <t>ค่าผ่อน Shoppee</t>
  </si>
  <si>
    <t>ค่าผ่อน Ipad</t>
  </si>
  <si>
    <t>ค่าเน็ต</t>
  </si>
  <si>
    <t>รายจ่ายประจำเดือน</t>
  </si>
  <si>
    <t>รายรับ</t>
  </si>
  <si>
    <t>เงินเดือน</t>
  </si>
  <si>
    <t>รวมรายรับ</t>
  </si>
  <si>
    <t>รวมรายจ่าย</t>
  </si>
  <si>
    <t>คงเหลือ</t>
  </si>
  <si>
    <t>ค่ากิน</t>
  </si>
  <si>
    <t>รายจ่าย</t>
  </si>
  <si>
    <t>ถอนเงิน</t>
  </si>
  <si>
    <t>รวม</t>
  </si>
  <si>
    <t>จ่ายแล้ว</t>
  </si>
  <si>
    <t>ยืมตัง Loan</t>
  </si>
  <si>
    <t>ค่าบัตรเครดิตค้าง</t>
  </si>
  <si>
    <t>ค่าเครื่องสั่น Shoppee</t>
  </si>
  <si>
    <t>ค่าหมอฟัน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</si>
</sst>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ahoma"/>
      <family val="2"/>
      <charset val="222"/>
      <scheme val="minor"/>
    </font>
    <font>
      <sz val="12"/>
      <color theme="1"/>
      <name val="Tahoma"/>
      <family val="2"/>
      <charset val="222"/>
      <scheme val="minor"/>
    </font>
    <font>
      <b/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98499-018F-4451-9B4F-FF5ACC693EA8}">
  <dimension ref="B2:I15"/>
  <sheetViews>
    <sheetView tabSelected="1" workbookViewId="0">
      <selection activeCell="B29" sqref="B28:B29"/>
    </sheetView>
  </sheetViews>
  <sheetFormatPr defaultRowHeight="15" x14ac:dyDescent="0.2"/>
  <cols>
    <col min="1" max="1" width="9" style="1"/>
    <col min="2" max="2" width="22.875" style="1" customWidth="1"/>
    <col min="3" max="3" width="10.125" style="1" customWidth="1"/>
    <col min="4" max="4" width="9" style="1" customWidth="1"/>
    <col min="5" max="5" width="18.75" style="1" customWidth="1"/>
    <col min="6" max="6" width="15.375" style="1" customWidth="1"/>
    <col min="7" max="7" width="9" style="1"/>
    <col min="8" max="8" width="20.25" style="1" customWidth="1"/>
    <col min="9" max="9" width="19" style="1" customWidth="1"/>
    <col min="10" max="16384" width="9" style="1"/>
  </cols>
  <sheetData>
    <row r="2" spans="2:9" x14ac:dyDescent="0.2">
      <c r="B2" s="1" t="s">
        <v>4</v>
      </c>
      <c r="E2" s="1" t="s">
        <v>5</v>
      </c>
    </row>
    <row r="4" spans="2:9" x14ac:dyDescent="0.2">
      <c r="B4" s="2" t="s">
        <v>10</v>
      </c>
      <c r="C4" s="2">
        <v>5000</v>
      </c>
      <c r="E4" s="2" t="s">
        <v>6</v>
      </c>
      <c r="F4" s="2">
        <v>27000</v>
      </c>
      <c r="H4" s="1" t="s">
        <v>7</v>
      </c>
      <c r="I4" s="1">
        <f>SUM(F4:F15)</f>
        <v>27000</v>
      </c>
    </row>
    <row r="5" spans="2:9" x14ac:dyDescent="0.2">
      <c r="B5" s="2" t="s">
        <v>0</v>
      </c>
      <c r="C5" s="2">
        <v>6000</v>
      </c>
      <c r="E5" s="2"/>
      <c r="F5" s="2"/>
      <c r="H5" s="1" t="s">
        <v>8</v>
      </c>
      <c r="I5" s="1">
        <f>SUM(C4:C15)</f>
        <v>22396.54</v>
      </c>
    </row>
    <row r="6" spans="2:9" x14ac:dyDescent="0.2">
      <c r="B6" s="2" t="s">
        <v>1</v>
      </c>
      <c r="C6" s="2">
        <v>1603.09</v>
      </c>
      <c r="E6" s="2"/>
      <c r="F6" s="2"/>
    </row>
    <row r="7" spans="2:9" x14ac:dyDescent="0.2">
      <c r="B7" s="2" t="s">
        <v>2</v>
      </c>
      <c r="C7" s="2">
        <v>1630</v>
      </c>
      <c r="E7" s="2"/>
      <c r="F7" s="2"/>
      <c r="H7" s="1" t="s">
        <v>9</v>
      </c>
      <c r="I7" s="1">
        <f>I4-I5</f>
        <v>4603.4599999999991</v>
      </c>
    </row>
    <row r="8" spans="2:9" x14ac:dyDescent="0.2">
      <c r="B8" s="2" t="s">
        <v>3</v>
      </c>
      <c r="C8" s="2">
        <v>650</v>
      </c>
      <c r="E8" s="2"/>
      <c r="F8" s="2"/>
    </row>
    <row r="9" spans="2:9" x14ac:dyDescent="0.2">
      <c r="B9" s="2" t="s">
        <v>15</v>
      </c>
      <c r="C9" s="2">
        <v>390</v>
      </c>
      <c r="E9" s="2"/>
      <c r="F9" s="2"/>
    </row>
    <row r="10" spans="2:9" x14ac:dyDescent="0.2">
      <c r="B10" s="2" t="s">
        <v>17</v>
      </c>
      <c r="C10" s="2">
        <v>282.49</v>
      </c>
      <c r="E10" s="2"/>
      <c r="F10" s="2"/>
    </row>
    <row r="11" spans="2:9" x14ac:dyDescent="0.2">
      <c r="B11" s="2" t="s">
        <v>16</v>
      </c>
      <c r="C11" s="2">
        <v>3840.96</v>
      </c>
      <c r="E11" s="2"/>
      <c r="F11" s="2"/>
    </row>
    <row r="12" spans="2:9" x14ac:dyDescent="0.2">
      <c r="B12" s="2" t="s">
        <v>18</v>
      </c>
      <c r="C12" s="2">
        <v>3000</v>
      </c>
      <c r="E12" s="2"/>
      <c r="F12" s="2"/>
    </row>
    <row r="13" spans="2:9" x14ac:dyDescent="0.2">
      <c r="B13" s="2"/>
      <c r="C13" s="2"/>
      <c r="E13" s="2"/>
      <c r="F13" s="2"/>
    </row>
    <row r="14" spans="2:9" x14ac:dyDescent="0.2">
      <c r="B14" s="2"/>
      <c r="C14" s="2"/>
      <c r="E14" s="2"/>
      <c r="F14" s="2"/>
    </row>
    <row r="15" spans="2:9" x14ac:dyDescent="0.2">
      <c r="B15" s="2"/>
      <c r="C15" s="2"/>
      <c r="E15" s="2"/>
      <c r="F15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BB61F-CBB6-449F-AE08-ED1870D2B964}">
  <dimension ref="H2:S28"/>
  <sheetViews>
    <sheetView workbookViewId="0">
      <selection activeCell="S28" sqref="S28"/>
    </sheetView>
  </sheetViews>
  <sheetFormatPr defaultRowHeight="14.25" x14ac:dyDescent="0.2"/>
  <cols>
    <col min="8" max="8" width="7.75" customWidth="1"/>
    <col min="9" max="9" width="19.5" customWidth="1"/>
    <col min="10" max="10" width="15.625" customWidth="1"/>
    <col min="13" max="13" width="15.25" customWidth="1"/>
  </cols>
  <sheetData>
    <row r="2" spans="9:17" x14ac:dyDescent="0.2">
      <c r="I2" s="5" t="s">
        <v>11</v>
      </c>
      <c r="J2" s="5" t="s">
        <v>12</v>
      </c>
      <c r="K2" s="5"/>
      <c r="L2" s="5"/>
      <c r="M2" s="5" t="s">
        <v>14</v>
      </c>
    </row>
    <row r="4" spans="9:17" x14ac:dyDescent="0.2">
      <c r="I4" s="3">
        <v>2000</v>
      </c>
      <c r="J4" s="3">
        <v>7000</v>
      </c>
      <c r="M4" s="3">
        <v>3000</v>
      </c>
      <c r="O4">
        <v>31000</v>
      </c>
      <c r="Q4" s="5" t="s">
        <v>9</v>
      </c>
    </row>
    <row r="5" spans="9:17" x14ac:dyDescent="0.2">
      <c r="I5" s="3">
        <v>459</v>
      </c>
      <c r="J5" s="3"/>
      <c r="M5" s="3"/>
      <c r="Q5">
        <f>O4-M25</f>
        <v>19664.05</v>
      </c>
    </row>
    <row r="6" spans="9:17" x14ac:dyDescent="0.2">
      <c r="I6" s="3">
        <v>361</v>
      </c>
      <c r="J6" s="3"/>
      <c r="M6" s="3"/>
    </row>
    <row r="7" spans="9:17" x14ac:dyDescent="0.2">
      <c r="I7" s="3">
        <v>80</v>
      </c>
      <c r="J7" s="3"/>
      <c r="M7" s="3"/>
    </row>
    <row r="8" spans="9:17" x14ac:dyDescent="0.2">
      <c r="I8" s="3">
        <v>150</v>
      </c>
      <c r="J8" s="3"/>
      <c r="M8" s="3"/>
    </row>
    <row r="9" spans="9:17" x14ac:dyDescent="0.2">
      <c r="I9" s="3">
        <v>132</v>
      </c>
      <c r="J9" s="3"/>
      <c r="M9" s="3"/>
    </row>
    <row r="10" spans="9:17" x14ac:dyDescent="0.2">
      <c r="I10" s="3">
        <v>150</v>
      </c>
      <c r="J10" s="3"/>
      <c r="M10" s="3"/>
    </row>
    <row r="11" spans="9:17" x14ac:dyDescent="0.2">
      <c r="I11" s="3">
        <v>172</v>
      </c>
      <c r="J11" s="3"/>
      <c r="M11" s="3"/>
    </row>
    <row r="12" spans="9:17" x14ac:dyDescent="0.2">
      <c r="I12" s="3">
        <v>159</v>
      </c>
      <c r="J12" s="3"/>
      <c r="M12" s="3"/>
    </row>
    <row r="13" spans="9:17" x14ac:dyDescent="0.2">
      <c r="I13" s="3">
        <v>120</v>
      </c>
      <c r="J13" s="3"/>
      <c r="M13" s="3"/>
    </row>
    <row r="14" spans="9:17" x14ac:dyDescent="0.2">
      <c r="I14" s="3">
        <v>1688</v>
      </c>
      <c r="J14" s="3"/>
      <c r="M14" s="3"/>
    </row>
    <row r="15" spans="9:17" x14ac:dyDescent="0.2">
      <c r="I15" s="3">
        <v>199</v>
      </c>
      <c r="J15" s="3"/>
      <c r="M15" s="3"/>
    </row>
    <row r="16" spans="9:17" x14ac:dyDescent="0.2">
      <c r="I16" s="3">
        <v>120</v>
      </c>
      <c r="J16" s="3"/>
      <c r="M16" s="3"/>
    </row>
    <row r="17" spans="8:19" x14ac:dyDescent="0.2">
      <c r="I17" s="3">
        <v>277.75</v>
      </c>
      <c r="J17" s="3"/>
      <c r="M17" s="3"/>
    </row>
    <row r="18" spans="8:19" x14ac:dyDescent="0.2">
      <c r="I18" s="3">
        <v>259.2</v>
      </c>
      <c r="J18" s="3"/>
      <c r="M18" s="3"/>
    </row>
    <row r="19" spans="8:19" x14ac:dyDescent="0.2">
      <c r="I19" s="3">
        <v>153</v>
      </c>
      <c r="J19" s="3"/>
      <c r="M19" s="3"/>
    </row>
    <row r="20" spans="8:19" x14ac:dyDescent="0.2">
      <c r="I20" s="3">
        <v>382</v>
      </c>
      <c r="J20" s="3"/>
      <c r="M20" s="3"/>
    </row>
    <row r="21" spans="8:19" x14ac:dyDescent="0.2">
      <c r="I21" s="3">
        <v>170</v>
      </c>
      <c r="J21" s="3"/>
      <c r="M21" s="3"/>
    </row>
    <row r="22" spans="8:19" x14ac:dyDescent="0.2">
      <c r="I22" s="3">
        <v>219</v>
      </c>
      <c r="J22" s="3"/>
      <c r="M22" s="3"/>
    </row>
    <row r="23" spans="8:19" x14ac:dyDescent="0.2">
      <c r="I23" s="3">
        <v>85</v>
      </c>
      <c r="J23" s="3"/>
      <c r="M23" s="3"/>
    </row>
    <row r="24" spans="8:19" x14ac:dyDescent="0.2">
      <c r="I24" s="3"/>
      <c r="J24" s="3"/>
      <c r="M24" s="3"/>
    </row>
    <row r="25" spans="8:19" x14ac:dyDescent="0.2">
      <c r="H25" s="4" t="s">
        <v>13</v>
      </c>
      <c r="I25" s="6">
        <f>SUM(I4:I24)</f>
        <v>7335.95</v>
      </c>
      <c r="J25" s="6">
        <f>I25+J4</f>
        <v>14335.95</v>
      </c>
      <c r="K25" s="4"/>
      <c r="L25" s="4" t="s">
        <v>9</v>
      </c>
      <c r="M25" s="6">
        <f>J25-M4</f>
        <v>11335.95</v>
      </c>
    </row>
    <row r="28" spans="8:19" x14ac:dyDescent="0.2">
      <c r="P28">
        <v>2449.63</v>
      </c>
      <c r="Q28">
        <v>8000</v>
      </c>
      <c r="R28">
        <f>P28+Q28</f>
        <v>10449.630000000001</v>
      </c>
      <c r="S28">
        <f>M25-R28</f>
        <v>886.31999999999971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Suttiporn S.</dc:creator>
  <cp:lastModifiedBy>Suttiporn S.</cp:lastModifiedBy>
  <dcterms:created xsi:type="dcterms:W3CDTF">2023-12-19T00:23:23Z</dcterms:created>
  <dcterms:modified xsi:type="dcterms:W3CDTF">2024-03-18T13:53:43Z</dcterms:modified>
</cp:coreProperties>
</file>